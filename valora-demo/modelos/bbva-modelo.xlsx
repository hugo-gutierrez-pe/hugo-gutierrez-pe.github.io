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FF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Valoriz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ource Serif 4"/>
      <b val="1"/>
      <color rgb="000A0D12"/>
      <sz val="14"/>
    </font>
    <font>
      <name val="Aptos Narrow"/>
      <color rgb="007C8597"/>
      <sz val="9"/>
    </font>
    <font>
      <name val="Aptos Narrow"/>
      <b val="1"/>
      <color rgb="000A0D12"/>
      <sz val="11"/>
    </font>
    <font>
      <name val="Aptos Narrow"/>
      <b val="1"/>
      <color rgb="000A0D12"/>
      <sz val="10"/>
    </font>
    <font>
      <name val="Aptos Narrow"/>
      <color rgb="003D4351"/>
      <sz val="10"/>
    </font>
    <font>
      <name val="Aptos Narrow"/>
      <color rgb="000A0D12"/>
      <sz val="11"/>
    </font>
    <font>
      <name val="Aptos Narrow"/>
      <color rgb="00185FA5"/>
      <sz val="11"/>
    </font>
    <font>
      <name val="Aptos Narrow"/>
      <color rgb="00007828"/>
      <sz val="11"/>
    </font>
  </fonts>
  <fills count="6">
    <fill>
      <patternFill/>
    </fill>
    <fill>
      <patternFill patternType="gray125"/>
    </fill>
    <fill>
      <patternFill patternType="solid">
        <fgColor rgb="00EFEBE3"/>
      </patternFill>
    </fill>
    <fill>
      <patternFill patternType="solid">
        <fgColor rgb="00ECEEF1"/>
      </patternFill>
    </fill>
    <fill>
      <patternFill patternType="solid">
        <fgColor rgb="00FBF9F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bottom style="medium">
        <color rgb="003D435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3" fontId="5" fillId="4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right" vertical="center"/>
    </xf>
    <xf numFmtId="164" fontId="2" fillId="4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3" fontId="4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0" fillId="2" borderId="1" pivotButton="0" quotePrefix="0" xfId="0"/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164" fontId="6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top" wrapText="1"/>
    </xf>
    <xf numFmtId="164" fontId="7" fillId="5" borderId="0" applyAlignment="1" pivotButton="0" quotePrefix="0" xfId="0">
      <alignment horizontal="right" vertical="center"/>
    </xf>
    <xf numFmtId="10" fontId="7" fillId="5" borderId="0" applyAlignment="1" pivotButton="0" quotePrefix="0" xfId="0">
      <alignment horizontal="right" vertical="center"/>
    </xf>
    <xf numFmtId="4" fontId="7" fillId="5" borderId="0" applyAlignment="1" pivotButton="0" quotePrefix="0" xfId="0">
      <alignment horizontal="right" vertical="center"/>
    </xf>
    <xf numFmtId="10" fontId="6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3" fontId="7" fillId="5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0" fontId="4" fillId="0" borderId="0" pivotButton="0" quotePrefix="0" xfId="0"/>
    <xf numFmtId="4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 ht="22" customHeight="1">
      <c r="A1" s="1" t="inlineStr">
        <is>
          <t>Estados Financieros — EEFF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</row>
    <row r="2">
      <c r="A2" s="3" t="inlineStr">
        <is>
          <t>BANCO BBVA PERU · Cifras en miles de Soles · Fuente: SMV (Consolidado) · Proyección 2026-2035 con fórmulas vivas. Herramienta educativa, no es asesoría financiera.</t>
        </is>
      </c>
    </row>
    <row r="3">
      <c r="C3" s="4" t="inlineStr">
        <is>
          <t>HISTÓRICO</t>
        </is>
      </c>
      <c r="K3" s="4" t="inlineStr">
        <is>
          <t>PROYECCIÓN</t>
        </is>
      </c>
      <c r="V3" s="3" t="inlineStr">
        <is>
          <t>ANÁLISIS VERTICAL (%)</t>
        </is>
      </c>
    </row>
    <row r="4" ht="18" customHeight="1">
      <c r="A4" s="5" t="inlineStr">
        <is>
          <t>Cuenta</t>
        </is>
      </c>
      <c r="B4" s="5" t="n"/>
      <c r="C4" s="6" t="n">
        <v>2018</v>
      </c>
      <c r="D4" s="6" t="n">
        <v>2019</v>
      </c>
      <c r="E4" s="6" t="n">
        <v>2020</v>
      </c>
      <c r="F4" s="6" t="n">
        <v>2021</v>
      </c>
      <c r="G4" s="6" t="n">
        <v>2022</v>
      </c>
      <c r="H4" s="6" t="n">
        <v>2023</v>
      </c>
      <c r="I4" s="6" t="n">
        <v>2024</v>
      </c>
      <c r="J4" s="6" t="n">
        <v>2025</v>
      </c>
      <c r="K4" s="7" t="n">
        <v>2026</v>
      </c>
      <c r="L4" s="7" t="n">
        <v>2027</v>
      </c>
      <c r="M4" s="7" t="n">
        <v>2028</v>
      </c>
      <c r="N4" s="7" t="n">
        <v>2029</v>
      </c>
      <c r="O4" s="7" t="n">
        <v>2030</v>
      </c>
      <c r="P4" s="7" t="n">
        <v>2031</v>
      </c>
      <c r="Q4" s="7" t="n">
        <v>2032</v>
      </c>
      <c r="R4" s="7" t="n">
        <v>2033</v>
      </c>
      <c r="S4" s="7" t="n">
        <v>2034</v>
      </c>
      <c r="T4" s="7" t="n">
        <v>2035</v>
      </c>
      <c r="U4" s="5" t="n"/>
      <c r="V4" s="6" t="n">
        <v>2018</v>
      </c>
      <c r="W4" s="6" t="n">
        <v>2019</v>
      </c>
      <c r="X4" s="6" t="n">
        <v>2020</v>
      </c>
      <c r="Y4" s="6" t="n">
        <v>2021</v>
      </c>
      <c r="Z4" s="6" t="n">
        <v>2022</v>
      </c>
      <c r="AA4" s="6" t="n">
        <v>2023</v>
      </c>
      <c r="AB4" s="6" t="n">
        <v>2024</v>
      </c>
      <c r="AC4" s="6" t="n">
        <v>2025</v>
      </c>
      <c r="AD4" s="7" t="n">
        <v>2026</v>
      </c>
      <c r="AE4" s="7" t="n">
        <v>2027</v>
      </c>
      <c r="AF4" s="7" t="n">
        <v>2028</v>
      </c>
      <c r="AG4" s="7" t="n">
        <v>2029</v>
      </c>
      <c r="AH4" s="7" t="n">
        <v>2030</v>
      </c>
      <c r="AI4" s="7" t="n">
        <v>2031</v>
      </c>
      <c r="AJ4" s="7" t="n">
        <v>2032</v>
      </c>
      <c r="AK4" s="7" t="n">
        <v>2033</v>
      </c>
      <c r="AL4" s="7" t="n">
        <v>2034</v>
      </c>
      <c r="AM4" s="7" t="n">
        <v>2035</v>
      </c>
    </row>
    <row r="5" ht="16" customHeight="1">
      <c r="A5" s="8" t="inlineStr">
        <is>
          <t>ESTADO DE RESULTADOS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</row>
    <row r="6" ht="14" customHeight="1">
      <c r="A6" s="10" t="inlineStr">
        <is>
          <t>Ingresos de Actividades Ordinarias</t>
        </is>
      </c>
      <c r="C6" s="11" t="n">
        <v>4483439</v>
      </c>
      <c r="D6" s="11" t="n">
        <v>4796546</v>
      </c>
      <c r="E6" s="11" t="n">
        <v>4298555</v>
      </c>
      <c r="F6" s="11" t="n">
        <v>4236841</v>
      </c>
      <c r="G6" s="11" t="n">
        <v>5739163</v>
      </c>
      <c r="H6" s="11" t="n">
        <v>7585895</v>
      </c>
      <c r="I6" s="11" t="n">
        <v>8083186</v>
      </c>
      <c r="J6" s="11" t="n">
        <v>7967004</v>
      </c>
      <c r="K6" s="12">
        <f>J6*(1+Supuestos!$C$7)</f>
        <v/>
      </c>
      <c r="L6" s="12">
        <f>K6*(1+Supuestos!$C$7)</f>
        <v/>
      </c>
      <c r="M6" s="12">
        <f>L6*(1+Supuestos!$C$7)</f>
        <v/>
      </c>
      <c r="N6" s="12">
        <f>M6*(1+Supuestos!$C$7)</f>
        <v/>
      </c>
      <c r="O6" s="12">
        <f>N6*(1+Supuestos!$C$7)</f>
        <v/>
      </c>
      <c r="P6" s="12">
        <f>O6*(1+Supuestos!$C$7)</f>
        <v/>
      </c>
      <c r="Q6" s="12">
        <f>P6*(1+Supuestos!$C$7)</f>
        <v/>
      </c>
      <c r="R6" s="12">
        <f>Q6*(1+Supuestos!$C$7)</f>
        <v/>
      </c>
      <c r="S6" s="12">
        <f>R6*(1+Supuestos!$C$7)</f>
        <v/>
      </c>
      <c r="T6" s="12">
        <f>S6*(1+Supuestos!$C$7)</f>
        <v/>
      </c>
      <c r="V6" s="13">
        <f>C6/C6</f>
        <v/>
      </c>
      <c r="W6" s="13">
        <f>D6/D6</f>
        <v/>
      </c>
      <c r="X6" s="13">
        <f>E6/E6</f>
        <v/>
      </c>
      <c r="Y6" s="13">
        <f>F6/F6</f>
        <v/>
      </c>
      <c r="Z6" s="13">
        <f>G6/G6</f>
        <v/>
      </c>
      <c r="AA6" s="13">
        <f>H6/H6</f>
        <v/>
      </c>
      <c r="AB6" s="13">
        <f>I6/I6</f>
        <v/>
      </c>
      <c r="AC6" s="13">
        <f>J6/J6</f>
        <v/>
      </c>
      <c r="AD6" s="13">
        <f>K6/K6</f>
        <v/>
      </c>
      <c r="AE6" s="13">
        <f>L6/L6</f>
        <v/>
      </c>
      <c r="AF6" s="13">
        <f>M6/M6</f>
        <v/>
      </c>
      <c r="AG6" s="13">
        <f>N6/N6</f>
        <v/>
      </c>
      <c r="AH6" s="13">
        <f>O6/O6</f>
        <v/>
      </c>
      <c r="AI6" s="13">
        <f>P6/P6</f>
        <v/>
      </c>
      <c r="AJ6" s="13">
        <f>Q6/Q6</f>
        <v/>
      </c>
      <c r="AK6" s="13">
        <f>R6/R6</f>
        <v/>
      </c>
      <c r="AL6" s="13">
        <f>S6/S6</f>
        <v/>
      </c>
      <c r="AM6" s="13">
        <f>T6/T6</f>
        <v/>
      </c>
    </row>
    <row r="7" ht="14" customHeight="1">
      <c r="A7" s="10" t="inlineStr">
        <is>
          <t>Resultado de Operación</t>
        </is>
      </c>
      <c r="C7" s="14" t="n">
        <v>2047244</v>
      </c>
      <c r="D7" s="14" t="n">
        <v>2217221</v>
      </c>
      <c r="E7" s="14" t="n">
        <v>908225</v>
      </c>
      <c r="F7" s="14" t="n">
        <v>2263027</v>
      </c>
      <c r="G7" s="14" t="n">
        <v>2661616</v>
      </c>
      <c r="H7" s="14" t="n">
        <v>2359535</v>
      </c>
      <c r="I7" s="14" t="n">
        <v>2397717</v>
      </c>
      <c r="J7" s="14" t="n">
        <v>3291004</v>
      </c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V7" s="16">
        <f>C7/C6</f>
        <v/>
      </c>
      <c r="W7" s="16">
        <f>D7/D6</f>
        <v/>
      </c>
      <c r="X7" s="16">
        <f>E7/E6</f>
        <v/>
      </c>
      <c r="Y7" s="16">
        <f>F7/F6</f>
        <v/>
      </c>
      <c r="Z7" s="16">
        <f>G7/G6</f>
        <v/>
      </c>
      <c r="AA7" s="16">
        <f>H7/H6</f>
        <v/>
      </c>
      <c r="AB7" s="16">
        <f>I7/I6</f>
        <v/>
      </c>
      <c r="AC7" s="16">
        <f>J7/J6</f>
        <v/>
      </c>
    </row>
    <row r="8" ht="14" customHeight="1">
      <c r="A8" s="10" t="inlineStr">
        <is>
          <t>Gasto por Impuesto a las Ganancias</t>
        </is>
      </c>
      <c r="C8" s="11" t="n">
        <v>-567778</v>
      </c>
      <c r="D8" s="11" t="n">
        <v>-630207</v>
      </c>
      <c r="E8" s="11" t="n">
        <v>-239167</v>
      </c>
      <c r="F8" s="11" t="n">
        <v>-691722</v>
      </c>
      <c r="G8" s="11" t="n">
        <v>-753863</v>
      </c>
      <c r="H8" s="11" t="n">
        <v>-559826</v>
      </c>
      <c r="I8" s="11" t="n">
        <v>-541536</v>
      </c>
      <c r="J8" s="11" t="n">
        <v>-895320</v>
      </c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V8" s="13">
        <f>C8/C6</f>
        <v/>
      </c>
      <c r="W8" s="13">
        <f>D8/D6</f>
        <v/>
      </c>
      <c r="X8" s="13">
        <f>E8/E6</f>
        <v/>
      </c>
      <c r="Y8" s="13">
        <f>F8/F6</f>
        <v/>
      </c>
      <c r="Z8" s="13">
        <f>G8/G6</f>
        <v/>
      </c>
      <c r="AA8" s="13">
        <f>H8/H6</f>
        <v/>
      </c>
      <c r="AB8" s="13">
        <f>I8/I6</f>
        <v/>
      </c>
      <c r="AC8" s="13">
        <f>J8/J6</f>
        <v/>
      </c>
    </row>
    <row r="9" ht="14" customHeight="1">
      <c r="A9" s="18" t="inlineStr">
        <is>
          <t>Resultado Neto del Ejercicio</t>
        </is>
      </c>
      <c r="C9" s="19" t="n">
        <v>1468926</v>
      </c>
      <c r="D9" s="19" t="n">
        <v>1609056</v>
      </c>
      <c r="E9" s="19" t="n">
        <v>648216</v>
      </c>
      <c r="F9" s="19" t="n">
        <v>1560500</v>
      </c>
      <c r="G9" s="19" t="n">
        <v>1921759</v>
      </c>
      <c r="H9" s="19" t="n">
        <v>1873736</v>
      </c>
      <c r="I9" s="19" t="n">
        <v>1882772</v>
      </c>
      <c r="J9" s="19" t="n">
        <v>2390911</v>
      </c>
      <c r="K9" s="19">
        <f>J9*(1+Supuestos!$C$7)</f>
        <v/>
      </c>
      <c r="L9" s="19">
        <f>K9*(1+Supuestos!$C$7)</f>
        <v/>
      </c>
      <c r="M9" s="19">
        <f>L9*(1+Supuestos!$C$7)</f>
        <v/>
      </c>
      <c r="N9" s="19">
        <f>M9*(1+Supuestos!$C$7)</f>
        <v/>
      </c>
      <c r="O9" s="19">
        <f>N9*(1+Supuestos!$C$7)</f>
        <v/>
      </c>
      <c r="P9" s="19">
        <f>O9*(1+Supuestos!$C$7)</f>
        <v/>
      </c>
      <c r="Q9" s="19">
        <f>P9*(1+Supuestos!$C$7)</f>
        <v/>
      </c>
      <c r="R9" s="19">
        <f>Q9*(1+Supuestos!$C$7)</f>
        <v/>
      </c>
      <c r="S9" s="19">
        <f>R9*(1+Supuestos!$C$7)</f>
        <v/>
      </c>
      <c r="T9" s="19">
        <f>S9*(1+Supuestos!$C$7)</f>
        <v/>
      </c>
      <c r="V9" s="16">
        <f>C9/C6</f>
        <v/>
      </c>
      <c r="W9" s="16">
        <f>D9/D6</f>
        <v/>
      </c>
      <c r="X9" s="16">
        <f>E9/E6</f>
        <v/>
      </c>
      <c r="Y9" s="16">
        <f>F9/F6</f>
        <v/>
      </c>
      <c r="Z9" s="16">
        <f>G9/G6</f>
        <v/>
      </c>
      <c r="AA9" s="16">
        <f>H9/H6</f>
        <v/>
      </c>
      <c r="AB9" s="16">
        <f>I9/I6</f>
        <v/>
      </c>
      <c r="AC9" s="16">
        <f>J9/J6</f>
        <v/>
      </c>
      <c r="AD9" s="16">
        <f>K9/K6</f>
        <v/>
      </c>
      <c r="AE9" s="16">
        <f>L9/L6</f>
        <v/>
      </c>
      <c r="AF9" s="16">
        <f>M9/M6</f>
        <v/>
      </c>
      <c r="AG9" s="16">
        <f>N9/N6</f>
        <v/>
      </c>
      <c r="AH9" s="16">
        <f>O9/O6</f>
        <v/>
      </c>
      <c r="AI9" s="16">
        <f>P9/P6</f>
        <v/>
      </c>
      <c r="AJ9" s="16">
        <f>Q9/Q6</f>
        <v/>
      </c>
      <c r="AK9" s="16">
        <f>R9/R6</f>
        <v/>
      </c>
      <c r="AL9" s="16">
        <f>S9/S6</f>
        <v/>
      </c>
      <c r="AM9" s="16">
        <f>T9/T6</f>
        <v/>
      </c>
    </row>
    <row r="11" ht="16" customHeight="1">
      <c r="A11" s="8" t="inlineStr">
        <is>
          <t>BALANCE GENERAL (proyección: solo patrimonio)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</row>
    <row r="12" ht="14" customHeight="1">
      <c r="A12" s="18" t="inlineStr">
        <is>
          <t>TOTAL ACTIVO</t>
        </is>
      </c>
      <c r="C12" s="20" t="n">
        <v>74982718</v>
      </c>
      <c r="D12" s="20" t="n">
        <v>81778899</v>
      </c>
      <c r="E12" s="20" t="n">
        <v>107337268</v>
      </c>
      <c r="F12" s="20" t="n">
        <v>101495755</v>
      </c>
      <c r="G12" s="20" t="n">
        <v>98045446</v>
      </c>
      <c r="H12" s="20" t="n">
        <v>104323802</v>
      </c>
      <c r="I12" s="20" t="n">
        <v>111188992</v>
      </c>
      <c r="J12" s="20" t="n">
        <v>112336347</v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V12" s="13">
        <f>C12/C12</f>
        <v/>
      </c>
      <c r="W12" s="13">
        <f>D12/D12</f>
        <v/>
      </c>
      <c r="X12" s="13">
        <f>E12/E12</f>
        <v/>
      </c>
      <c r="Y12" s="13">
        <f>F12/F12</f>
        <v/>
      </c>
      <c r="Z12" s="13">
        <f>G12/G12</f>
        <v/>
      </c>
      <c r="AA12" s="13">
        <f>H12/H12</f>
        <v/>
      </c>
      <c r="AB12" s="13">
        <f>I12/I12</f>
        <v/>
      </c>
      <c r="AC12" s="13">
        <f>J12/J12</f>
        <v/>
      </c>
    </row>
    <row r="13" ht="14" customHeight="1">
      <c r="A13" s="18" t="inlineStr">
        <is>
          <t>TOTAL PASIVO</t>
        </is>
      </c>
      <c r="C13" s="19" t="n">
        <v>66630505</v>
      </c>
      <c r="D13" s="19" t="n">
        <v>72598433</v>
      </c>
      <c r="E13" s="19" t="n">
        <v>97975412</v>
      </c>
      <c r="F13" s="19" t="n">
        <v>91327026</v>
      </c>
      <c r="G13" s="19" t="n">
        <v>86792072</v>
      </c>
      <c r="H13" s="19" t="n">
        <v>91954134</v>
      </c>
      <c r="I13" s="19" t="n">
        <v>97888646</v>
      </c>
      <c r="J13" s="19" t="n">
        <v>97344718</v>
      </c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V13" s="16">
        <f>C13/C12</f>
        <v/>
      </c>
      <c r="W13" s="16">
        <f>D13/D12</f>
        <v/>
      </c>
      <c r="X13" s="16">
        <f>E13/E12</f>
        <v/>
      </c>
      <c r="Y13" s="16">
        <f>F13/F12</f>
        <v/>
      </c>
      <c r="Z13" s="16">
        <f>G13/G12</f>
        <v/>
      </c>
      <c r="AA13" s="16">
        <f>H13/H12</f>
        <v/>
      </c>
      <c r="AB13" s="16">
        <f>I13/I12</f>
        <v/>
      </c>
      <c r="AC13" s="16">
        <f>J13/J12</f>
        <v/>
      </c>
    </row>
    <row r="14" ht="14" customHeight="1">
      <c r="A14" s="18" t="inlineStr">
        <is>
          <t>TOTAL PATRIMONIO</t>
        </is>
      </c>
      <c r="C14" s="20" t="n">
        <v>8352213</v>
      </c>
      <c r="D14" s="20" t="n">
        <v>9180466</v>
      </c>
      <c r="E14" s="20" t="n">
        <v>9361856</v>
      </c>
      <c r="F14" s="20" t="n">
        <v>10168729</v>
      </c>
      <c r="G14" s="20" t="n">
        <v>11253374</v>
      </c>
      <c r="H14" s="20" t="n">
        <v>12369668</v>
      </c>
      <c r="I14" s="20" t="n">
        <v>13300346</v>
      </c>
      <c r="J14" s="20" t="n">
        <v>14991629</v>
      </c>
      <c r="K14" s="20">
        <f>J14+K9*(1-Supuestos!$C$14)</f>
        <v/>
      </c>
      <c r="L14" s="20">
        <f>K14+L9*(1-Supuestos!$C$14)</f>
        <v/>
      </c>
      <c r="M14" s="20">
        <f>L14+M9*(1-Supuestos!$C$14)</f>
        <v/>
      </c>
      <c r="N14" s="20">
        <f>M14+N9*(1-Supuestos!$C$14)</f>
        <v/>
      </c>
      <c r="O14" s="20">
        <f>N14+O9*(1-Supuestos!$C$14)</f>
        <v/>
      </c>
      <c r="P14" s="20">
        <f>O14+P9*(1-Supuestos!$C$14)</f>
        <v/>
      </c>
      <c r="Q14" s="20">
        <f>P14+Q9*(1-Supuestos!$C$14)</f>
        <v/>
      </c>
      <c r="R14" s="20">
        <f>Q14+R9*(1-Supuestos!$C$14)</f>
        <v/>
      </c>
      <c r="S14" s="20">
        <f>R14+S9*(1-Supuestos!$C$14)</f>
        <v/>
      </c>
      <c r="T14" s="20">
        <f>S14+T9*(1-Supuestos!$C$14)</f>
        <v/>
      </c>
      <c r="V14" s="13">
        <f>C14/C12</f>
        <v/>
      </c>
      <c r="W14" s="13">
        <f>D14/D12</f>
        <v/>
      </c>
      <c r="X14" s="13">
        <f>E14/E12</f>
        <v/>
      </c>
      <c r="Y14" s="13">
        <f>F14/F12</f>
        <v/>
      </c>
      <c r="Z14" s="13">
        <f>G14/G12</f>
        <v/>
      </c>
      <c r="AA14" s="13">
        <f>H14/H12</f>
        <v/>
      </c>
      <c r="AB14" s="13">
        <f>I14/I12</f>
        <v/>
      </c>
      <c r="AC14" s="13">
        <f>J14/J12</f>
        <v/>
      </c>
      <c r="AD14" s="13">
        <f>K14/K12</f>
        <v/>
      </c>
      <c r="AE14" s="13">
        <f>L14/L12</f>
        <v/>
      </c>
      <c r="AF14" s="13">
        <f>M14/M12</f>
        <v/>
      </c>
      <c r="AG14" s="13">
        <f>N14/N12</f>
        <v/>
      </c>
      <c r="AH14" s="13">
        <f>O14/O12</f>
        <v/>
      </c>
      <c r="AI14" s="13">
        <f>P14/P12</f>
        <v/>
      </c>
      <c r="AJ14" s="13">
        <f>Q14/Q12</f>
        <v/>
      </c>
      <c r="AK14" s="13">
        <f>R14/R12</f>
        <v/>
      </c>
      <c r="AL14" s="13">
        <f>S14/S12</f>
        <v/>
      </c>
      <c r="AM14" s="13">
        <f>T14/T12</f>
        <v/>
      </c>
    </row>
    <row r="15">
      <c r="A15" s="3" t="inlineStr">
        <is>
          <t>Empresa financiera: proyección de FCFF/FCFE no aplica (capex y capital de trabajo no son separables del negocio). Solo se proyecta lo necesario para el DDM.</t>
        </is>
      </c>
    </row>
    <row r="17" ht="16" customHeight="1">
      <c r="A17" s="8" t="inlineStr">
        <is>
          <t>FLUJO DE EFECTIVO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</row>
    <row r="18" ht="14" customHeight="1">
      <c r="A18" s="10" t="inlineStr">
        <is>
          <t>Dividendos Pagados</t>
        </is>
      </c>
      <c r="C18" s="14" t="n">
        <v>-761550</v>
      </c>
      <c r="D18" s="14" t="n">
        <v>-810470</v>
      </c>
      <c r="E18" s="14" t="n">
        <v>-562761</v>
      </c>
      <c r="F18" s="14" t="n">
        <v>-601232</v>
      </c>
      <c r="G18" s="14" t="n">
        <v>-778101</v>
      </c>
      <c r="H18" s="14" t="n">
        <v>-955356</v>
      </c>
      <c r="I18" s="14" t="n">
        <v>-933163</v>
      </c>
      <c r="J18" s="14" t="n">
        <v>-940958</v>
      </c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</row>
    <row r="19" ht="14" customHeight="1">
      <c r="A19" s="10" t="inlineStr">
        <is>
          <t>Dividendos Pagados (proyección)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2">
        <f>-Supuestos!$C$14*K9</f>
        <v/>
      </c>
      <c r="L19" s="12">
        <f>-Supuestos!$C$14*L9</f>
        <v/>
      </c>
      <c r="M19" s="12">
        <f>-Supuestos!$C$14*M9</f>
        <v/>
      </c>
      <c r="N19" s="12">
        <f>-Supuestos!$C$14*N9</f>
        <v/>
      </c>
      <c r="O19" s="12">
        <f>-Supuestos!$C$14*O9</f>
        <v/>
      </c>
      <c r="P19" s="12">
        <f>-Supuestos!$C$14*P9</f>
        <v/>
      </c>
      <c r="Q19" s="12">
        <f>-Supuestos!$C$14*Q9</f>
        <v/>
      </c>
      <c r="R19" s="12">
        <f>-Supuestos!$C$14*R9</f>
        <v/>
      </c>
      <c r="S19" s="12">
        <f>-Supuestos!$C$14*S9</f>
        <v/>
      </c>
      <c r="T19" s="12">
        <f>-Supuestos!$C$14*T9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" customWidth="1" min="2" max="2"/>
    <col width="12" customWidth="1" min="3" max="3"/>
    <col width="68" customWidth="1" min="4" max="4"/>
  </cols>
  <sheetData>
    <row r="1" ht="22" customHeight="1">
      <c r="A1" s="1" t="inlineStr">
        <is>
          <t>Supuestos — BANCO BBVA PERU</t>
        </is>
      </c>
      <c r="B1" s="2" t="n"/>
      <c r="C1" s="2" t="n"/>
      <c r="D1" s="2" t="n"/>
    </row>
    <row r="2">
      <c r="A2" s="3" t="inlineStr">
        <is>
          <t>Única hoja editable: las celdas azules son inputs; las negras son fórmulas por componentes (sobreescribibles). Defaults sujetos a revisión.</t>
        </is>
      </c>
    </row>
    <row r="4">
      <c r="A4" s="5" t="inlineStr">
        <is>
          <t>Supuesto</t>
        </is>
      </c>
      <c r="B4" s="21" t="n"/>
      <c r="C4" s="6" t="inlineStr">
        <is>
          <t>Valor</t>
        </is>
      </c>
      <c r="D4" s="5" t="inlineStr">
        <is>
          <t>Nota / fuente</t>
        </is>
      </c>
    </row>
    <row r="6">
      <c r="A6" s="22" t="inlineStr">
        <is>
          <t>Operativos</t>
        </is>
      </c>
      <c r="B6" s="9" t="n"/>
      <c r="C6" s="9" t="n"/>
      <c r="D6" s="9" t="n"/>
    </row>
    <row r="7">
      <c r="A7" s="23" t="inlineStr">
        <is>
          <t>Crecimiento de ventas (g)</t>
        </is>
      </c>
      <c r="C7" s="24">
        <f>MAX(-0.15,MIN(0.25,(EEFF!J6/EEFF!C6)^(1/7)-1))</f>
        <v/>
      </c>
      <c r="D7" s="25" t="inlineStr">
        <is>
          <t>Fórmula viva: CAGR histórico de ventas (años disponibles), tope −15%/+25%; sobreescribible</t>
        </is>
      </c>
    </row>
    <row r="8">
      <c r="A8" s="23" t="inlineStr">
        <is>
          <t>Costo de ventas % de ventas</t>
        </is>
      </c>
      <c r="C8" s="24" t="n">
        <v>0.6</v>
      </c>
      <c r="D8" s="25" t="inlineStr">
        <is>
          <t>Fórmula viva: promedio histórico |costo| / ventas</t>
        </is>
      </c>
    </row>
    <row r="9">
      <c r="A9" s="23" t="inlineStr">
        <is>
          <t>Gastos adm. y ventas % de ventas</t>
        </is>
      </c>
      <c r="C9" s="24" t="n">
        <v>0.1</v>
      </c>
      <c r="D9" s="25" t="inlineStr">
        <is>
          <t>Fórmula viva: promedio histórico |gastos| / ventas</t>
        </is>
      </c>
    </row>
    <row r="10">
      <c r="A10" s="23" t="inlineStr">
        <is>
          <t>D&amp;A % de ventas</t>
        </is>
      </c>
      <c r="C10" s="26" t="n">
        <v>0.03324406985067522</v>
      </c>
      <c r="D10" s="25" t="inlineStr">
        <is>
          <t>D&amp;A 2024 = 268,718 miles (operaciones continuas) del EEFF auditado (prototipo_auditado_BBVA_2024.json, doble ruta cuadrada) ÷ ventas 2024; editable</t>
        </is>
      </c>
    </row>
    <row r="11">
      <c r="A11" s="23" t="inlineStr">
        <is>
          <t>Capex % de ventas</t>
        </is>
      </c>
      <c r="C11" s="24" t="n">
        <v>0.03</v>
      </c>
      <c r="D11" s="25" t="inlineStr">
        <is>
          <t>Fórmula viva: promedio histórico |compras PPE + intangibles| / ventas</t>
        </is>
      </c>
    </row>
    <row r="12">
      <c r="A12" s="23" t="inlineStr">
        <is>
          <t>Δ Capital de trabajo % de ventas</t>
        </is>
      </c>
      <c r="C12" s="24" t="n">
        <v>0</v>
      </c>
      <c r="D12" s="25" t="inlineStr">
        <is>
          <t>Fórmula viva: promedio histórico ΔKW / ventas (años consecutivos)</t>
        </is>
      </c>
    </row>
    <row r="13">
      <c r="A13" s="23" t="inlineStr">
        <is>
          <t>Tasa impositiva efectiva (para proyección EGP)</t>
        </is>
      </c>
      <c r="C13" s="24" t="n">
        <v>0.295</v>
      </c>
      <c r="D13" s="25" t="inlineStr">
        <is>
          <t>Fórmula viva: promedio histórico |impuesto| / UAI, tope 0-50%</t>
        </is>
      </c>
    </row>
    <row r="14">
      <c r="A14" s="23" t="inlineStr">
        <is>
          <t>Payout de dividendos</t>
        </is>
      </c>
      <c r="C14" s="24">
        <f>MAX(0,MIN(1,AVERAGE(ABS(EEFF!C18)/EEFF!C9,ABS(EEFF!D18)/EEFF!D9,ABS(EEFF!E18)/EEFF!E9,ABS(EEFF!F18)/EEFF!F9,ABS(EEFF!G18)/EEFF!G9,ABS(EEFF!H18)/EEFF!H9,ABS(EEFF!I18)/EEFF!I9,ABS(EEFF!J18)/EEFF!J9)))</f>
        <v/>
      </c>
      <c r="D14" s="25" t="inlineStr">
        <is>
          <t>Fórmula viva: promedio histórico |dividendos| / utilidad neta</t>
        </is>
      </c>
    </row>
    <row r="15">
      <c r="A15" s="23" t="inlineStr">
        <is>
          <t>ROE promedio histórico</t>
        </is>
      </c>
      <c r="C15" s="24">
        <f>AVERAGE(EEFF!C9/EEFF!C14,EEFF!D9/EEFF!D14,EEFF!E9/EEFF!E14,EEFF!F9/EEFF!F14,EEFF!G9/EEFF!G14,EEFF!H9/EEFF!H14,EEFF!I9/EEFF!I14,EEFF!J9/EEFF!J14)</f>
        <v/>
      </c>
      <c r="D15" s="25" t="inlineStr">
        <is>
          <t>Fórmula viva: promedio histórico utilidad neta / patrimonio; insumo del g de dividendos (DDM)</t>
        </is>
      </c>
    </row>
    <row r="16">
      <c r="A16" s="23" t="inlineStr">
        <is>
          <t>g dividendos = ROE × (1 − payout)</t>
        </is>
      </c>
      <c r="C16" s="24">
        <f>Supuestos!$C$15*(1-Supuestos!$C$14)</f>
        <v/>
      </c>
      <c r="D16" s="25" t="inlineStr">
        <is>
          <t>Crecimiento fundamental de dividendos para el DDM (Gordon); sobreescribible</t>
        </is>
      </c>
    </row>
    <row r="18">
      <c r="A18" s="22" t="inlineStr">
        <is>
          <t>Descuento — CAPM/WACC por componentes (fuentes: misma metodología valorización PANASA; defaults jul-2026, sujetos a revisión)</t>
        </is>
      </c>
      <c r="B18" s="9" t="n"/>
      <c r="C18" s="9" t="n"/>
      <c r="D18" s="9" t="n"/>
    </row>
    <row r="19">
      <c r="A19" s="23" t="inlineStr">
        <is>
          <t>Tasa libre de riesgo (rf)</t>
        </is>
      </c>
      <c r="C19" s="27" t="n">
        <v>0.0455</v>
      </c>
      <c r="D19" s="25" t="inlineStr">
        <is>
          <t>US Treasury 10Y — fuente: investing.com (capturado 15-jul-2026)</t>
        </is>
      </c>
    </row>
    <row r="20">
      <c r="A20" s="23" t="inlineStr">
        <is>
          <t>EMBIG Perú (riesgo país)</t>
        </is>
      </c>
      <c r="C20" s="27" t="n">
        <v>0.0103</v>
      </c>
      <c r="D20" s="25" t="inlineStr">
        <is>
          <t>Fuente: BCRP serie PD04709XD (jul-2026)</t>
        </is>
      </c>
    </row>
    <row r="21">
      <c r="A21" s="23" t="inlineStr">
        <is>
          <t>Ratio σ acciones / σ bonos</t>
        </is>
      </c>
      <c r="C21" s="28" t="n">
        <v>1.52</v>
      </c>
      <c r="D21" s="25" t="inlineStr">
        <is>
          <t>Deducido de Damodaran</t>
        </is>
      </c>
    </row>
    <row r="22">
      <c r="A22" s="23" t="inlineStr">
        <is>
          <t>CRP = EMBIG × ratio</t>
        </is>
      </c>
      <c r="C22" s="29">
        <f>Supuestos!$C$20*Supuestos!$C$21</f>
        <v/>
      </c>
      <c r="D22" s="25" t="inlineStr">
        <is>
          <t>Country Risk Premium (sobreescribible)</t>
        </is>
      </c>
    </row>
    <row r="23">
      <c r="A23" s="23" t="inlineStr">
        <is>
          <t>ERP mercado maduro</t>
        </is>
      </c>
      <c r="C23" s="27" t="n">
        <v>0.0423</v>
      </c>
      <c r="D23" s="25" t="inlineStr">
        <is>
          <t>Damodaran implied ERP jul-2026 (ctryprem.html); alternativa Kroll 5.0%</t>
        </is>
      </c>
    </row>
    <row r="24">
      <c r="A24" s="23" t="inlineStr">
        <is>
          <t>Beta desapalancado sectorial (βu)</t>
        </is>
      </c>
      <c r="C24" s="28" t="n">
        <v>0.6</v>
      </c>
      <c r="D24" s="25" t="inlineStr">
        <is>
          <t>Damodaran betaemerg.xls (Emerging Markets, ene-2026) · Industria: Banks (Regional) · editable</t>
        </is>
      </c>
    </row>
    <row r="25">
      <c r="A25" s="23" t="inlineStr">
        <is>
          <t>D/E contable de la empresa</t>
        </is>
      </c>
      <c r="C25" s="30" t="n">
        <v>0</v>
      </c>
      <c r="D25" s="25" t="inlineStr">
        <is>
          <t>Financiera: no aplica, se deja en 0</t>
        </is>
      </c>
    </row>
    <row r="26">
      <c r="A26" s="23" t="inlineStr">
        <is>
          <t>Tasa IR estatutaria (Hamada, Kd)</t>
        </is>
      </c>
      <c r="C26" s="26" t="n">
        <v>0.295</v>
      </c>
      <c r="D26" s="25" t="inlineStr">
        <is>
          <t>Impuesto a la renta Perú 29.5%</t>
        </is>
      </c>
    </row>
    <row r="27">
      <c r="A27" s="23" t="inlineStr">
        <is>
          <t>Beta reapalancado (βL)</t>
        </is>
      </c>
      <c r="C27" s="30">
        <f>Supuestos!$C$24</f>
        <v/>
      </c>
      <c r="D27" s="25" t="inlineStr">
        <is>
          <t>Financiera: Hamada no aplica (la deuda es el negocio); βL = β directo de la industria</t>
        </is>
      </c>
    </row>
    <row r="28">
      <c r="A28" s="23" t="inlineStr">
        <is>
          <t>Costo de la deuda (Kd)</t>
        </is>
      </c>
      <c r="C28" s="27" t="n">
        <v>0.08</v>
      </c>
      <c r="D28" s="25" t="inlineStr">
        <is>
          <t>No calculable del histórico: default genérico 8%, revisar</t>
        </is>
      </c>
    </row>
    <row r="29">
      <c r="A29" s="23" t="inlineStr">
        <is>
          <t>COK en US$ = rf + βL×ERP + CRP</t>
        </is>
      </c>
      <c r="C29" s="29">
        <f>Supuestos!$C$19+Supuestos!$C$27*Supuestos!$C$23+Supuestos!$C$22</f>
        <v/>
      </c>
      <c r="D29" s="25" t="inlineStr">
        <is>
          <t>Costo de oportunidad del accionista en dólares</t>
        </is>
      </c>
    </row>
    <row r="30">
      <c r="A30" s="23" t="inlineStr">
        <is>
          <t>Inflación esperada S/</t>
        </is>
      </c>
      <c r="C30" s="26" t="n">
        <v>0.025</v>
      </c>
      <c r="D30" s="25" t="inlineStr">
        <is>
          <t>Diferencial esperado; editable</t>
        </is>
      </c>
    </row>
    <row r="31">
      <c r="A31" s="23" t="inlineStr">
        <is>
          <t>Inflación esperada US$</t>
        </is>
      </c>
      <c r="C31" s="26" t="n">
        <v>0.025</v>
      </c>
      <c r="D31" s="25" t="inlineStr">
        <is>
          <t>Diferencial esperado; editable</t>
        </is>
      </c>
    </row>
    <row r="32">
      <c r="A32" s="23" t="inlineStr">
        <is>
          <t>COK en S/ nominal</t>
        </is>
      </c>
      <c r="C32" s="29">
        <f>(1+Supuestos!$C$29)*(1+Supuestos!$C$30)/(1+Supuestos!$C$31)-1</f>
        <v/>
      </c>
      <c r="D32" s="25" t="inlineStr">
        <is>
          <t>(1+COK_US$)×(1+infl_S/)/(1+infl_US$) − 1</t>
        </is>
      </c>
    </row>
    <row r="33">
      <c r="A33" s="23" t="inlineStr">
        <is>
          <t>Ke = COK S/ (para FCFE y DDM)</t>
        </is>
      </c>
      <c r="C33" s="29">
        <f>Supuestos!$C$32</f>
        <v/>
      </c>
      <c r="D33" s="25" t="inlineStr">
        <is>
          <t>Costo del patrimonio en la moneda de los EEFF (Soles)</t>
        </is>
      </c>
    </row>
    <row r="34">
      <c r="A34" s="23" t="inlineStr">
        <is>
          <t>Deuda financiera (D)</t>
        </is>
      </c>
      <c r="C34" s="12" t="n">
        <v>0</v>
      </c>
      <c r="D34" s="25" t="inlineStr">
        <is>
          <t>Financiera: no aplica, se deja en 0</t>
        </is>
      </c>
    </row>
    <row r="35">
      <c r="A35" s="23" t="inlineStr">
        <is>
          <t>Patrimonio (E contable)</t>
        </is>
      </c>
      <c r="C35" s="12">
        <f>EEFF!J14</f>
        <v/>
      </c>
      <c r="D35" s="25" t="inlineStr">
        <is>
          <t>Patrimonio 2025 (fórmula viva a EEFF)</t>
        </is>
      </c>
    </row>
    <row r="36">
      <c r="A36" s="23" t="inlineStr">
        <is>
          <t>Patrimonio a mercado (market cap)</t>
        </is>
      </c>
      <c r="C36" s="12">
        <f>Supuestos!$C$35</f>
        <v/>
      </c>
      <c r="D36" s="25" t="inlineStr">
        <is>
          <t>Sin precio de mercado: fallback al patrimonio contable</t>
        </is>
      </c>
    </row>
    <row r="37">
      <c r="A37" s="23" t="inlineStr">
        <is>
          <t>WACC</t>
        </is>
      </c>
      <c r="C37" s="29">
        <f>Supuestos!$C$33</f>
        <v/>
      </c>
      <c r="D37" s="25" t="inlineStr">
        <is>
          <t>Financiera: no se usa (solo DDM), se deja = Ke</t>
        </is>
      </c>
    </row>
    <row r="38">
      <c r="A38" s="23" t="inlineStr">
        <is>
          <t>Crecimiento terminal (g)</t>
        </is>
      </c>
      <c r="C38" s="26" t="n">
        <v>0.03</v>
      </c>
      <c r="D38" s="25" t="inlineStr">
        <is>
          <t>Default simple, revisar (FCFF/FCFE; el DDM usa g dividendos)</t>
        </is>
      </c>
    </row>
    <row r="40">
      <c r="A40" s="22" t="inlineStr">
        <is>
          <t>Mercado — acciones por clase y precios</t>
        </is>
      </c>
      <c r="B40" s="9" t="n"/>
      <c r="C40" s="9" t="n"/>
      <c r="D40" s="9" t="n"/>
    </row>
    <row r="41">
      <c r="A41" s="23" t="inlineStr">
        <is>
          <t>Tipo de cambio (S/ por US$)</t>
        </is>
      </c>
      <c r="C41" s="28" t="n">
        <v>3.7</v>
      </c>
      <c r="D41" s="25" t="inlineStr">
        <is>
          <t>Para convertir precios de mercado a la moneda de los EEFF (Soles); editable</t>
        </is>
      </c>
    </row>
    <row r="42">
      <c r="A42" s="23" t="inlineStr">
        <is>
          <t>Precio acción común (moneda de cotización)</t>
        </is>
      </c>
      <c r="C42" s="28" t="n"/>
      <c r="D42" s="25" t="inlineStr">
        <is>
          <t>Sin dato automático (red/BVL); ingresar manualmente</t>
        </is>
      </c>
    </row>
    <row r="43">
      <c r="A43" s="23" t="inlineStr">
        <is>
          <t>Precio acción común en Soles (EEFF)</t>
        </is>
      </c>
      <c r="C43" s="30" t="n"/>
      <c r="D43" s="25" t="inlineStr">
        <is>
          <t>Convertido con el tipo de cambio si la cotización es en otra moneda</t>
        </is>
      </c>
    </row>
    <row r="44">
      <c r="A44" s="23" t="inlineStr">
        <is>
          <t>Acciones comunes (miles)</t>
        </is>
      </c>
      <c r="C44" s="31" t="n">
        <v>9649407.937750729</v>
      </c>
      <c r="D44" s="25" t="inlineStr">
        <is>
          <t>Default: Utilidad neta / EPS básica 2025; editable</t>
        </is>
      </c>
    </row>
    <row r="45">
      <c r="A45" s="23" t="inlineStr">
        <is>
          <t>Acciones de inversión (miles)</t>
        </is>
      </c>
      <c r="C45" s="31" t="n"/>
      <c r="D45" s="25" t="inlineStr">
        <is>
          <t>Default: BVL listStock si hay dato; si no, balance (1D0703 a valor nominal); editable</t>
        </is>
      </c>
    </row>
    <row r="46">
      <c r="A46" s="23" t="inlineStr">
        <is>
          <t>(−) Acciones propias en cartera (miles)</t>
        </is>
      </c>
      <c r="C46" s="31" t="n">
        <v>0</v>
      </c>
      <c r="D46" s="25" t="inlineStr">
        <is>
          <t>Default: balance (1D0711 a valor nominal) cuando el conteo viene de BVL; 0 cuando viene de UN/EPS (la EPS ya es neta de cartera)</t>
        </is>
      </c>
    </row>
    <row r="47">
      <c r="A47" s="23" t="inlineStr">
        <is>
          <t>Precio acción de inversión</t>
        </is>
      </c>
      <c r="C47" s="28" t="n"/>
      <c r="D47" s="25" t="inlineStr">
        <is>
          <t>Sin dato automático; ingresar manualmente (si no aplica, dejar en 0)</t>
        </is>
      </c>
    </row>
    <row r="48">
      <c r="A48" s="23" t="inlineStr">
        <is>
          <t>Factor conversión inversión → común</t>
        </is>
      </c>
      <c r="C48" s="30" t="n">
        <v>1</v>
      </c>
      <c r="D48" s="25" t="inlineStr">
        <is>
          <t>precio_inversión / precio_común (ponderación por precio; fallback: ratio de valor nominal)</t>
        </is>
      </c>
    </row>
    <row r="49">
      <c r="A49" s="23" t="inlineStr">
        <is>
          <t>Acciones equivalentes (miles)</t>
        </is>
      </c>
      <c r="C49" s="12">
        <f>Supuestos!$C$44-Supuestos!$C$46+Supuestos!$C$45*Supuestos!$C$48</f>
        <v/>
      </c>
      <c r="D49" s="25">
        <f> comunes − cartera + inversión × factor (todo en equivalentes de la acción común)</f>
        <v/>
      </c>
    </row>
    <row r="50">
      <c r="A50" s="25" t="inlineStr">
        <is>
          <t>La historia de dividendos del EFE queda en la hoja EEFF como referencia. El valor nominal no siempre es S/1: revisar la memoria anual si el factor se calcula por nominales.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2" customHeight="1">
      <c r="A1" s="1" t="inlineStr">
        <is>
          <t>Valorización — BANCO BBVA PERU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Cifras en miles de Soles (precio por acción en Soles). FCFF/FCFE descuentan al WACC/Ke; DDM al Ke.</t>
        </is>
      </c>
    </row>
    <row r="4">
      <c r="A4" s="8" t="inlineStr">
        <is>
          <t>FCFF — DCF EMPRESARIAL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>
      <c r="A5" s="3" t="inlineStr">
        <is>
          <t>N/A — financiera (capex y capital de trabajo no son separables del negocio)</t>
        </is>
      </c>
    </row>
    <row r="7">
      <c r="A7" s="8" t="inlineStr">
        <is>
          <t>FCFE — DCF PATRIMONIAL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3" t="inlineStr">
        <is>
          <t>N/A — financiera (capex y capital de trabajo no son separables del negocio)</t>
        </is>
      </c>
    </row>
    <row r="10">
      <c r="A10" s="8" t="inlineStr">
        <is>
          <t>DDM — MODELO DE GORDON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5" t="inlineStr">
        <is>
          <t>Año</t>
        </is>
      </c>
      <c r="B11" s="5" t="n"/>
      <c r="C11" s="7" t="n">
        <v>2026</v>
      </c>
      <c r="D11" s="7" t="n">
        <v>2027</v>
      </c>
      <c r="E11" s="7" t="n">
        <v>2028</v>
      </c>
      <c r="F11" s="7" t="n">
        <v>2029</v>
      </c>
      <c r="G11" s="7" t="n">
        <v>2030</v>
      </c>
      <c r="H11" s="7" t="n">
        <v>2031</v>
      </c>
      <c r="I11" s="7" t="n">
        <v>2032</v>
      </c>
      <c r="J11" s="7" t="n">
        <v>2033</v>
      </c>
      <c r="K11" s="7" t="n">
        <v>2034</v>
      </c>
      <c r="L11" s="7" t="n">
        <v>2035</v>
      </c>
    </row>
    <row r="12" ht="14" customHeight="1">
      <c r="A12" s="23" t="inlineStr">
        <is>
          <t>Dividendos</t>
        </is>
      </c>
      <c r="C12" s="32">
        <f>-EEFF!K19</f>
        <v/>
      </c>
      <c r="D12" s="32">
        <f>-EEFF!L19</f>
        <v/>
      </c>
      <c r="E12" s="32">
        <f>-EEFF!M19</f>
        <v/>
      </c>
      <c r="F12" s="32">
        <f>-EEFF!N19</f>
        <v/>
      </c>
      <c r="G12" s="32">
        <f>-EEFF!O19</f>
        <v/>
      </c>
      <c r="H12" s="32">
        <f>-EEFF!P19</f>
        <v/>
      </c>
      <c r="I12" s="32">
        <f>-EEFF!Q19</f>
        <v/>
      </c>
      <c r="J12" s="32">
        <f>-EEFF!R19</f>
        <v/>
      </c>
      <c r="K12" s="32">
        <f>-EEFF!S19</f>
        <v/>
      </c>
      <c r="L12" s="32">
        <f>-EEFF!T19</f>
        <v/>
      </c>
    </row>
    <row r="13" ht="14" customHeight="1">
      <c r="A13" s="33" t="inlineStr">
        <is>
          <t>Dividendos</t>
        </is>
      </c>
      <c r="C13" s="20">
        <f>SUM(C12:C12)</f>
        <v/>
      </c>
      <c r="D13" s="20">
        <f>SUM(D12:D12)</f>
        <v/>
      </c>
      <c r="E13" s="20">
        <f>SUM(E12:E12)</f>
        <v/>
      </c>
      <c r="F13" s="20">
        <f>SUM(F12:F12)</f>
        <v/>
      </c>
      <c r="G13" s="20">
        <f>SUM(G12:G12)</f>
        <v/>
      </c>
      <c r="H13" s="20">
        <f>SUM(H12:H12)</f>
        <v/>
      </c>
      <c r="I13" s="20">
        <f>SUM(I12:I12)</f>
        <v/>
      </c>
      <c r="J13" s="20">
        <f>SUM(J12:J12)</f>
        <v/>
      </c>
      <c r="K13" s="20">
        <f>SUM(K12:K12)</f>
        <v/>
      </c>
      <c r="L13" s="20">
        <f>SUM(L12:L12)</f>
        <v/>
      </c>
    </row>
    <row r="14" ht="14" customHeight="1">
      <c r="A14" s="23" t="inlineStr">
        <is>
          <t>Factor de descuento</t>
        </is>
      </c>
      <c r="C14" s="30">
        <f>1/(1+Supuestos!$C$33)^1</f>
        <v/>
      </c>
      <c r="D14" s="30">
        <f>1/(1+Supuestos!$C$33)^2</f>
        <v/>
      </c>
      <c r="E14" s="30">
        <f>1/(1+Supuestos!$C$33)^3</f>
        <v/>
      </c>
      <c r="F14" s="30">
        <f>1/(1+Supuestos!$C$33)^4</f>
        <v/>
      </c>
      <c r="G14" s="30">
        <f>1/(1+Supuestos!$C$33)^5</f>
        <v/>
      </c>
      <c r="H14" s="30">
        <f>1/(1+Supuestos!$C$33)^6</f>
        <v/>
      </c>
      <c r="I14" s="30">
        <f>1/(1+Supuestos!$C$33)^7</f>
        <v/>
      </c>
      <c r="J14" s="30">
        <f>1/(1+Supuestos!$C$33)^8</f>
        <v/>
      </c>
      <c r="K14" s="30">
        <f>1/(1+Supuestos!$C$33)^9</f>
        <v/>
      </c>
      <c r="L14" s="30">
        <f>1/(1+Supuestos!$C$33)^10</f>
        <v/>
      </c>
    </row>
    <row r="15" ht="14" customHeight="1">
      <c r="A15" s="23" t="inlineStr">
        <is>
          <t>PV del dividendos</t>
        </is>
      </c>
      <c r="C15" s="12">
        <f>C13*C14</f>
        <v/>
      </c>
      <c r="D15" s="12">
        <f>D13*D14</f>
        <v/>
      </c>
      <c r="E15" s="12">
        <f>E13*E14</f>
        <v/>
      </c>
      <c r="F15" s="12">
        <f>F13*F14</f>
        <v/>
      </c>
      <c r="G15" s="12">
        <f>G13*G14</f>
        <v/>
      </c>
      <c r="H15" s="12">
        <f>H13*H14</f>
        <v/>
      </c>
      <c r="I15" s="12">
        <f>I13*I14</f>
        <v/>
      </c>
      <c r="J15" s="12">
        <f>J13*J14</f>
        <v/>
      </c>
      <c r="K15" s="12">
        <f>K13*K14</f>
        <v/>
      </c>
      <c r="L15" s="12">
        <f>L13*L14</f>
        <v/>
      </c>
    </row>
    <row r="17" ht="14" customHeight="1">
      <c r="A17" s="23" t="inlineStr">
        <is>
          <t>Suma PV dividendos 2026-2035</t>
        </is>
      </c>
      <c r="C17" s="12">
        <f>SUM(C15:L15)</f>
        <v/>
      </c>
    </row>
    <row r="18" ht="14" customHeight="1">
      <c r="A18" s="23" t="inlineStr">
        <is>
          <t>Valor terminal (Gordon)</t>
        </is>
      </c>
      <c r="C18" s="12">
        <f>L13*(1+Supuestos!$C$16)/(Supuestos!$C$33-Supuestos!$C$16)</f>
        <v/>
      </c>
    </row>
    <row r="19" ht="14" customHeight="1">
      <c r="A19" s="23" t="inlineStr">
        <is>
          <t>PV del valor terminal</t>
        </is>
      </c>
      <c r="C19" s="12">
        <f>C18*L14</f>
        <v/>
      </c>
    </row>
    <row r="20" ht="14" customHeight="1">
      <c r="A20" s="33" t="inlineStr">
        <is>
          <t>Valor del patrimonio (equity)</t>
        </is>
      </c>
      <c r="C20" s="20">
        <f>C17+C19</f>
        <v/>
      </c>
    </row>
    <row r="21" ht="14" customHeight="1">
      <c r="A21" s="33" t="inlineStr">
        <is>
          <t>Precio implícito por acción (dividendos)</t>
        </is>
      </c>
      <c r="C21" s="34">
        <f>C20/Supuestos!$C$49</f>
        <v/>
      </c>
    </row>
    <row r="24">
      <c r="A24" s="8" t="inlineStr">
        <is>
          <t>RESUMEN — PRECIO IMPLÍCITO VS MERCADO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5" t="inlineStr">
        <is>
          <t>Modelo</t>
        </is>
      </c>
      <c r="B25" s="5" t="n"/>
      <c r="C25" s="6" t="inlineStr">
        <is>
          <t>Precio implícito</t>
        </is>
      </c>
      <c r="D25" s="6" t="inlineStr">
        <is>
          <t>Precio mercado</t>
        </is>
      </c>
      <c r="E25" s="6" t="inlineStr">
        <is>
          <t>Upside vs mercado</t>
        </is>
      </c>
    </row>
    <row r="26" ht="14" customHeight="1">
      <c r="A26" s="23" t="inlineStr">
        <is>
          <t>FCFF (DCF empresarial)</t>
        </is>
      </c>
      <c r="C26" s="35" t="inlineStr">
        <is>
          <t>N/A — financiera</t>
        </is>
      </c>
      <c r="D26" s="36">
        <f>Supuestos!$C$43</f>
        <v/>
      </c>
    </row>
    <row r="27" ht="14" customHeight="1">
      <c r="A27" s="23" t="inlineStr">
        <is>
          <t>FCFE (DCF patrimonial)</t>
        </is>
      </c>
      <c r="C27" s="35" t="inlineStr">
        <is>
          <t>N/A — financiera</t>
        </is>
      </c>
      <c r="D27" s="36">
        <f>Supuestos!$C$43</f>
        <v/>
      </c>
    </row>
    <row r="28" ht="14" customHeight="1">
      <c r="A28" s="23" t="inlineStr">
        <is>
          <t>DDM (Gordon)</t>
        </is>
      </c>
      <c r="C28" s="36">
        <f>C21</f>
        <v/>
      </c>
      <c r="D28" s="36">
        <f>Supuestos!$C$43</f>
        <v/>
      </c>
      <c r="E28" s="24">
        <f>C21/Supuestos!$C$43-1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2026-08-23T04:48:41Z</dcterms:created>
  <dcterms:modified xmlns:dcterms="http://purl.org/dc/terms/" xmlns:xsi="http://www.w3.org/2001/XMLSchema-instance" xsi:type="dcterms:W3CDTF">2026-08-23T04:48:41Z</dcterms:modified>
</cp:coreProperties>
</file>